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crlhaa001_myuct_ac_za/Documents/4th Year/Sem 2/MEC4128Z/MEC4128Z Final Year Project Submission/Modelling/"/>
    </mc:Choice>
  </mc:AlternateContent>
  <xr:revisionPtr revIDLastSave="749" documentId="8_{C4731FCB-E949-4DE7-A8D4-C703451BB630}" xr6:coauthVersionLast="47" xr6:coauthVersionMax="47" xr10:uidLastSave="{875836CF-511E-4F7A-9A23-10388ED3B14F}"/>
  <bookViews>
    <workbookView xWindow="-108" yWindow="-108" windowWidth="23256" windowHeight="12456" tabRatio="786" activeTab="1" xr2:uid="{9BA7875D-D9F4-40E6-BF6C-89633396233F}"/>
  </bookViews>
  <sheets>
    <sheet name="LiPo Properties" sheetId="4" r:id="rId1"/>
    <sheet name="Motor" sheetId="1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12" i="15" l="1"/>
  <c r="O29" i="15"/>
  <c r="N29" i="15"/>
  <c r="V10" i="15"/>
  <c r="S5" i="15"/>
  <c r="S6" i="15"/>
  <c r="S7" i="15"/>
  <c r="S8" i="15"/>
  <c r="S9" i="15"/>
  <c r="S10" i="15"/>
  <c r="S11" i="15"/>
  <c r="S12" i="15"/>
  <c r="S13" i="15"/>
  <c r="S14" i="15"/>
  <c r="S15" i="15"/>
  <c r="S16" i="15"/>
  <c r="S17" i="15"/>
  <c r="S18" i="15"/>
  <c r="S19" i="15"/>
  <c r="S20" i="15"/>
  <c r="S21" i="15"/>
  <c r="S22" i="15"/>
  <c r="S23" i="15"/>
  <c r="S24" i="15"/>
  <c r="S25" i="15"/>
  <c r="S26" i="15"/>
  <c r="S27" i="15"/>
  <c r="S4" i="15"/>
  <c r="P4" i="15"/>
  <c r="V16" i="15"/>
  <c r="J32" i="15"/>
  <c r="N4" i="15"/>
  <c r="D9" i="4"/>
  <c r="V8" i="15"/>
  <c r="V7" i="15"/>
  <c r="W7" i="15" s="1"/>
  <c r="U4" i="15" a="1"/>
  <c r="U4" i="15" s="1"/>
  <c r="P5" i="15"/>
  <c r="P6" i="15"/>
  <c r="P7" i="15"/>
  <c r="P8" i="15"/>
  <c r="P9" i="15"/>
  <c r="P10" i="15"/>
  <c r="P11" i="15"/>
  <c r="P12" i="15"/>
  <c r="P13" i="15"/>
  <c r="P14" i="15"/>
  <c r="P15" i="15"/>
  <c r="P16" i="15"/>
  <c r="P17" i="15"/>
  <c r="P18" i="15"/>
  <c r="P19" i="15"/>
  <c r="P20" i="15"/>
  <c r="P21" i="15"/>
  <c r="P22" i="15"/>
  <c r="P23" i="15"/>
  <c r="P24" i="15"/>
  <c r="P25" i="15"/>
  <c r="P26" i="15"/>
  <c r="P27" i="15"/>
  <c r="N27" i="15"/>
  <c r="N26" i="15"/>
  <c r="N22" i="15"/>
  <c r="N23" i="15"/>
  <c r="N24" i="15"/>
  <c r="K16" i="15"/>
  <c r="K17" i="15"/>
  <c r="K18" i="15"/>
  <c r="K19" i="15"/>
  <c r="K20" i="15"/>
  <c r="K21" i="15"/>
  <c r="K22" i="15"/>
  <c r="K23" i="15"/>
  <c r="K24" i="15"/>
  <c r="K25" i="15"/>
  <c r="K15" i="15"/>
  <c r="N15" i="15" s="1"/>
  <c r="K5" i="15"/>
  <c r="K6" i="15"/>
  <c r="K7" i="15"/>
  <c r="K8" i="15"/>
  <c r="K9" i="15"/>
  <c r="K10" i="15"/>
  <c r="K11" i="15"/>
  <c r="K12" i="15"/>
  <c r="K13" i="15"/>
  <c r="K14" i="15"/>
  <c r="K4" i="15"/>
  <c r="J31" i="15"/>
  <c r="L16" i="15"/>
  <c r="N16" i="15" s="1"/>
  <c r="L17" i="15"/>
  <c r="N17" i="15" s="1"/>
  <c r="L18" i="15"/>
  <c r="N18" i="15" s="1"/>
  <c r="L19" i="15"/>
  <c r="N19" i="15" s="1"/>
  <c r="L20" i="15"/>
  <c r="N20" i="15" s="1"/>
  <c r="L21" i="15"/>
  <c r="N21" i="15" s="1"/>
  <c r="L22" i="15"/>
  <c r="L23" i="15"/>
  <c r="L24" i="15"/>
  <c r="L25" i="15"/>
  <c r="N25" i="15" s="1"/>
  <c r="L15" i="15"/>
  <c r="L6" i="15"/>
  <c r="N6" i="15" s="1"/>
  <c r="L7" i="15"/>
  <c r="N7" i="15" s="1"/>
  <c r="L8" i="15"/>
  <c r="N8" i="15" s="1"/>
  <c r="L9" i="15"/>
  <c r="N9" i="15" s="1"/>
  <c r="L10" i="15"/>
  <c r="N10" i="15" s="1"/>
  <c r="L11" i="15"/>
  <c r="N11" i="15" s="1"/>
  <c r="L12" i="15"/>
  <c r="N12" i="15" s="1"/>
  <c r="L13" i="15"/>
  <c r="N13" i="15" s="1"/>
  <c r="L14" i="15"/>
  <c r="N14" i="15" s="1"/>
  <c r="L5" i="15"/>
  <c r="N5" i="15" s="1"/>
  <c r="L4" i="15"/>
  <c r="C36" i="4"/>
  <c r="D36" i="4" s="1"/>
  <c r="C35" i="4"/>
  <c r="D35" i="4" s="1"/>
  <c r="B23" i="4"/>
  <c r="B21" i="4"/>
  <c r="B22" i="4" s="1"/>
  <c r="B25" i="4" s="1"/>
  <c r="B20" i="4"/>
  <c r="B24" i="4" s="1"/>
  <c r="M6" i="15" l="1"/>
  <c r="O6" i="15" s="1"/>
  <c r="M7" i="15"/>
  <c r="O7" i="15" s="1"/>
  <c r="M8" i="15"/>
  <c r="O8" i="15" s="1"/>
  <c r="M17" i="15"/>
  <c r="O17" i="15" s="1"/>
  <c r="M22" i="15"/>
  <c r="O22" i="15" s="1"/>
  <c r="M23" i="15"/>
  <c r="O23" i="15" s="1"/>
  <c r="M9" i="15"/>
  <c r="O9" i="15" s="1"/>
  <c r="M16" i="15"/>
  <c r="O16" i="15" s="1"/>
  <c r="M10" i="15"/>
  <c r="O10" i="15" s="1"/>
  <c r="M11" i="15"/>
  <c r="O11" i="15" s="1"/>
  <c r="M4" i="15"/>
  <c r="O4" i="15" s="1"/>
  <c r="M24" i="15"/>
  <c r="O24" i="15" s="1"/>
  <c r="M18" i="15"/>
  <c r="O18" i="15" s="1"/>
  <c r="M12" i="15"/>
  <c r="O12" i="15" s="1"/>
  <c r="M13" i="15"/>
  <c r="O13" i="15" s="1"/>
  <c r="M20" i="15"/>
  <c r="O20" i="15" s="1"/>
  <c r="M14" i="15"/>
  <c r="O14" i="15" s="1"/>
  <c r="M21" i="15"/>
  <c r="O21" i="15" s="1"/>
  <c r="M5" i="15"/>
  <c r="O5" i="15" s="1"/>
  <c r="M19" i="15"/>
  <c r="O19" i="15" s="1"/>
  <c r="M25" i="15"/>
  <c r="O25" i="15" s="1"/>
  <c r="M15" i="15"/>
  <c r="O15" i="15" s="1"/>
  <c r="O26" i="15" l="1"/>
  <c r="O27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<sst xmlns="http://schemas.openxmlformats.org/spreadsheetml/2006/main" count="113" uniqueCount="99">
  <si>
    <t>Tattu R-Line 550MAH 3S 95C</t>
  </si>
  <si>
    <t>Minimum Capacity</t>
  </si>
  <si>
    <t>Value</t>
  </si>
  <si>
    <t>Unit</t>
  </si>
  <si>
    <t>Configuration</t>
  </si>
  <si>
    <t>Max Burst Discharge Rate</t>
  </si>
  <si>
    <t>Net Weight</t>
  </si>
  <si>
    <t>Dimensions</t>
  </si>
  <si>
    <t>Charge Plug</t>
  </si>
  <si>
    <t>Discharge plug</t>
  </si>
  <si>
    <t>Ah</t>
  </si>
  <si>
    <t>3S</t>
  </si>
  <si>
    <t>V</t>
  </si>
  <si>
    <t>Voltage (nominal)</t>
  </si>
  <si>
    <t>C</t>
  </si>
  <si>
    <t>R</t>
  </si>
  <si>
    <t>kg</t>
  </si>
  <si>
    <t>69mm Length x 19mm Width x 22mm Height</t>
  </si>
  <si>
    <t>mm</t>
  </si>
  <si>
    <t>JST-XHR-4P</t>
  </si>
  <si>
    <t>XT30</t>
  </si>
  <si>
    <t>Derived Calculations</t>
  </si>
  <si>
    <t>Energy</t>
  </si>
  <si>
    <t>Continuous current</t>
  </si>
  <si>
    <t>Continuous power</t>
  </si>
  <si>
    <t>Burst current</t>
  </si>
  <si>
    <t>Gravimetric energy density</t>
  </si>
  <si>
    <t>Gravimetric power density</t>
  </si>
  <si>
    <t>Result</t>
  </si>
  <si>
    <t>Discharge rate (C-rating)</t>
  </si>
  <si>
    <t>Wh</t>
  </si>
  <si>
    <t>A</t>
  </si>
  <si>
    <t>W</t>
  </si>
  <si>
    <t>Wh/kg</t>
  </si>
  <si>
    <t>W/kg</t>
  </si>
  <si>
    <t>Quadcopter Requirements</t>
  </si>
  <si>
    <t>Controller</t>
  </si>
  <si>
    <t>Power (W)</t>
  </si>
  <si>
    <t>Current under sag</t>
  </si>
  <si>
    <t xml:space="preserve">Conservative </t>
  </si>
  <si>
    <t>Aggressive</t>
  </si>
  <si>
    <t>Current @ 12V (A)</t>
  </si>
  <si>
    <t>&gt; Voltage sag to be confirmed with flight testing</t>
  </si>
  <si>
    <t>&gt;Lipo</t>
  </si>
  <si>
    <t>Cost</t>
  </si>
  <si>
    <t>Lipo</t>
  </si>
  <si>
    <t>Datasheet Specifications</t>
  </si>
  <si>
    <t>Voltage (V)</t>
  </si>
  <si>
    <t>Current (A)</t>
  </si>
  <si>
    <t>Test Resistor Values</t>
  </si>
  <si>
    <t>Resistance (ohms)</t>
  </si>
  <si>
    <t>Type</t>
  </si>
  <si>
    <t>Propeller</t>
  </si>
  <si>
    <t>Throttle</t>
  </si>
  <si>
    <t>Thrust (g)</t>
  </si>
  <si>
    <t>RPM</t>
  </si>
  <si>
    <t>Efficiency (g,'W)</t>
  </si>
  <si>
    <t>GF2023-3</t>
  </si>
  <si>
    <t>El 203</t>
  </si>
  <si>
    <t>KV7000</t>
  </si>
  <si>
    <t>kt and kf</t>
  </si>
  <si>
    <t>Thrust (N)</t>
  </si>
  <si>
    <t>Specifications</t>
  </si>
  <si>
    <t>9N12P</t>
  </si>
  <si>
    <t>Internal Resistance</t>
  </si>
  <si>
    <t>Motor Dimension</t>
  </si>
  <si>
    <t>015.5*14.05mm</t>
  </si>
  <si>
    <t>Shaft Diameter</t>
  </si>
  <si>
    <t>Lead</t>
  </si>
  <si>
    <t>28# black 75mm</t>
  </si>
  <si>
    <t>Weight (Incl. Cable)</t>
  </si>
  <si>
    <t>weight (Excl.Cable)</t>
  </si>
  <si>
    <t>Rated Voltage(Lipo)</t>
  </si>
  <si>
    <t>2- 3S</t>
  </si>
  <si>
    <t>Idle Current(10V)</t>
  </si>
  <si>
    <t>Max. Power(60s)</t>
  </si>
  <si>
    <t>Peak Current(60s)</t>
  </si>
  <si>
    <t>mQ</t>
  </si>
  <si>
    <t>g</t>
  </si>
  <si>
    <t>Torque</t>
  </si>
  <si>
    <t>Kv_rpm</t>
  </si>
  <si>
    <t>Kt</t>
  </si>
  <si>
    <t>kf</t>
  </si>
  <si>
    <t>Speed (rad/s)</t>
  </si>
  <si>
    <t>ktau</t>
  </si>
  <si>
    <t>AVERAGE</t>
  </si>
  <si>
    <t>STD DEV</t>
  </si>
  <si>
    <t>V effective</t>
  </si>
  <si>
    <t>a</t>
  </si>
  <si>
    <t>b</t>
  </si>
  <si>
    <t>Kv_eff</t>
  </si>
  <si>
    <t>R_total</t>
  </si>
  <si>
    <t>Linear Regression</t>
  </si>
  <si>
    <t>Kv_rad</t>
  </si>
  <si>
    <t>Session 1</t>
  </si>
  <si>
    <t>OCV</t>
  </si>
  <si>
    <t>U_pred</t>
  </si>
  <si>
    <t>R^2</t>
  </si>
  <si>
    <t>%STD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</si>
</sst>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1D1D1D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1"/>
    <xf numFmtId="0" fontId="2" fillId="0" borderId="0" xfId="0" applyFont="1"/>
    <xf numFmtId="2" fontId="0" fillId="0" borderId="0" xfId="0" applyNumberFormat="1"/>
    <xf numFmtId="0" fontId="4" fillId="0" borderId="0" xfId="0" applyFont="1"/>
    <xf numFmtId="0" fontId="5" fillId="0" borderId="0" xfId="0" applyFont="1"/>
    <xf numFmtId="0" fontId="1" fillId="0" borderId="0" xfId="0" applyFont="1"/>
    <xf numFmtId="9" fontId="0" fillId="0" borderId="0" xfId="0" applyNumberFormat="1"/>
    <xf numFmtId="0" fontId="8" fillId="0" borderId="0" xfId="0" applyFont="1"/>
    <xf numFmtId="11" fontId="0" fillId="0" borderId="0" xfId="0" applyNumberFormat="1"/>
    <xf numFmtId="10" fontId="0" fillId="0" borderId="0" xfId="2" applyNumberFormat="1" applyFont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lyingrobot.co/products/tattu-r-line-550mah-3s-95c?srsltid=AfmBOoqfv6mWsqS96Ux-jtnzjyln6XG1ZOnR30_nV-11eCoWnbeIDWw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6482-B42E-41A0-B62E-1C27981BB038}">
  <sheetPr>
    <tabColor theme="5"/>
  </sheetPr>
  <dimension ref="A1:F39"/>
  <sheetViews>
    <sheetView zoomScale="72" workbookViewId="0">
      <selection activeCell="A40" sqref="A40"/>
    </sheetView>
  </sheetViews>
  <sheetFormatPr defaultRowHeight="14.4" x14ac:dyDescent="0.3"/>
  <cols>
    <col min="1" max="1" width="23.88671875" bestFit="1" customWidth="1"/>
    <col min="2" max="2" width="36.77734375" bestFit="1" customWidth="1"/>
    <col min="3" max="3" width="15.21875" bestFit="1" customWidth="1"/>
    <col min="4" max="4" width="17.88671875" bestFit="1" customWidth="1"/>
    <col min="5" max="5" width="16.109375" bestFit="1" customWidth="1"/>
  </cols>
  <sheetData>
    <row r="1" spans="1:6" x14ac:dyDescent="0.3">
      <c r="A1" s="1" t="s">
        <v>0</v>
      </c>
      <c r="B1" t="s">
        <v>43</v>
      </c>
    </row>
    <row r="5" spans="1:6" ht="21" x14ac:dyDescent="0.4">
      <c r="B5" s="12" t="s">
        <v>45</v>
      </c>
      <c r="C5" s="12"/>
      <c r="E5" t="s">
        <v>50</v>
      </c>
      <c r="F5" t="s">
        <v>37</v>
      </c>
    </row>
    <row r="6" spans="1:6" x14ac:dyDescent="0.3">
      <c r="A6" s="2" t="s">
        <v>46</v>
      </c>
      <c r="B6" s="2" t="s">
        <v>2</v>
      </c>
      <c r="C6" s="2" t="s">
        <v>3</v>
      </c>
      <c r="D6" s="2" t="s">
        <v>49</v>
      </c>
      <c r="E6" s="2">
        <v>10</v>
      </c>
      <c r="F6">
        <v>25</v>
      </c>
    </row>
    <row r="7" spans="1:6" x14ac:dyDescent="0.3">
      <c r="A7" t="s">
        <v>1</v>
      </c>
      <c r="B7">
        <v>0.55000000000000004</v>
      </c>
      <c r="C7" t="s">
        <v>10</v>
      </c>
    </row>
    <row r="8" spans="1:6" x14ac:dyDescent="0.3">
      <c r="A8" t="s">
        <v>4</v>
      </c>
      <c r="B8" t="s">
        <v>11</v>
      </c>
    </row>
    <row r="9" spans="1:6" x14ac:dyDescent="0.3">
      <c r="A9" t="s">
        <v>13</v>
      </c>
      <c r="B9">
        <v>11.1</v>
      </c>
      <c r="C9" t="s">
        <v>12</v>
      </c>
      <c r="D9">
        <f>11.1/3</f>
        <v>3.6999999999999997</v>
      </c>
    </row>
    <row r="10" spans="1:6" x14ac:dyDescent="0.3">
      <c r="A10" t="s">
        <v>29</v>
      </c>
      <c r="B10">
        <v>95</v>
      </c>
      <c r="C10" t="s">
        <v>14</v>
      </c>
    </row>
    <row r="11" spans="1:6" x14ac:dyDescent="0.3">
      <c r="A11" t="s">
        <v>5</v>
      </c>
      <c r="B11">
        <v>190</v>
      </c>
      <c r="C11" t="s">
        <v>14</v>
      </c>
    </row>
    <row r="12" spans="1:6" x14ac:dyDescent="0.3">
      <c r="A12" t="s">
        <v>6</v>
      </c>
      <c r="B12">
        <v>4.5999999999999999E-2</v>
      </c>
      <c r="C12" t="s">
        <v>16</v>
      </c>
    </row>
    <row r="13" spans="1:6" x14ac:dyDescent="0.3">
      <c r="A13" t="s">
        <v>7</v>
      </c>
      <c r="B13" s="4" t="s">
        <v>17</v>
      </c>
      <c r="C13" t="s">
        <v>18</v>
      </c>
      <c r="D13" s="4"/>
    </row>
    <row r="14" spans="1:6" x14ac:dyDescent="0.3">
      <c r="A14" t="s">
        <v>8</v>
      </c>
      <c r="B14" s="5" t="s">
        <v>19</v>
      </c>
      <c r="D14" s="5"/>
    </row>
    <row r="15" spans="1:6" x14ac:dyDescent="0.3">
      <c r="A15" t="s">
        <v>9</v>
      </c>
      <c r="B15" s="5" t="s">
        <v>20</v>
      </c>
      <c r="D15" s="5"/>
    </row>
    <row r="16" spans="1:6" x14ac:dyDescent="0.3">
      <c r="A16" t="s">
        <v>44</v>
      </c>
      <c r="B16">
        <v>300</v>
      </c>
      <c r="C16" t="s">
        <v>15</v>
      </c>
    </row>
    <row r="18" spans="1:5" ht="21" x14ac:dyDescent="0.4">
      <c r="B18" s="12"/>
      <c r="C18" s="12"/>
      <c r="D18" s="12"/>
      <c r="E18" s="12"/>
    </row>
    <row r="19" spans="1:5" x14ac:dyDescent="0.3">
      <c r="A19" s="2" t="s">
        <v>21</v>
      </c>
      <c r="B19" s="2" t="s">
        <v>28</v>
      </c>
      <c r="C19" s="2" t="s">
        <v>3</v>
      </c>
      <c r="D19" s="2"/>
      <c r="E19" s="2"/>
    </row>
    <row r="20" spans="1:5" x14ac:dyDescent="0.3">
      <c r="A20" t="s">
        <v>22</v>
      </c>
      <c r="B20">
        <f>B9*B7</f>
        <v>6.1050000000000004</v>
      </c>
      <c r="C20" t="s">
        <v>30</v>
      </c>
    </row>
    <row r="21" spans="1:5" x14ac:dyDescent="0.3">
      <c r="A21" t="s">
        <v>23</v>
      </c>
      <c r="B21">
        <f>B10*B7</f>
        <v>52.250000000000007</v>
      </c>
      <c r="C21" t="s">
        <v>31</v>
      </c>
    </row>
    <row r="22" spans="1:5" x14ac:dyDescent="0.3">
      <c r="A22" t="s">
        <v>24</v>
      </c>
      <c r="B22">
        <f>B21*B9</f>
        <v>579.97500000000002</v>
      </c>
      <c r="C22" t="s">
        <v>32</v>
      </c>
    </row>
    <row r="23" spans="1:5" x14ac:dyDescent="0.3">
      <c r="A23" t="s">
        <v>25</v>
      </c>
      <c r="B23">
        <f>B11*B7</f>
        <v>104.50000000000001</v>
      </c>
      <c r="C23" t="s">
        <v>31</v>
      </c>
    </row>
    <row r="24" spans="1:5" x14ac:dyDescent="0.3">
      <c r="A24" t="s">
        <v>26</v>
      </c>
      <c r="B24">
        <f>B20/B12</f>
        <v>132.71739130434784</v>
      </c>
      <c r="C24" t="s">
        <v>33</v>
      </c>
    </row>
    <row r="25" spans="1:5" x14ac:dyDescent="0.3">
      <c r="A25" t="s">
        <v>27</v>
      </c>
      <c r="B25" s="3">
        <f>B22/B12</f>
        <v>12608.152173913044</v>
      </c>
      <c r="C25" t="s">
        <v>34</v>
      </c>
      <c r="D25" s="3"/>
    </row>
    <row r="32" spans="1:5" x14ac:dyDescent="0.3">
      <c r="A32" s="2" t="s">
        <v>35</v>
      </c>
    </row>
    <row r="34" spans="1:6" x14ac:dyDescent="0.3">
      <c r="A34" s="2" t="s">
        <v>36</v>
      </c>
      <c r="B34" s="2" t="s">
        <v>37</v>
      </c>
      <c r="C34" s="2" t="s">
        <v>41</v>
      </c>
      <c r="D34" s="2" t="s">
        <v>38</v>
      </c>
      <c r="E34" s="2"/>
      <c r="F34" s="6" t="s">
        <v>42</v>
      </c>
    </row>
    <row r="35" spans="1:6" x14ac:dyDescent="0.3">
      <c r="A35" t="s">
        <v>39</v>
      </c>
      <c r="B35">
        <v>150</v>
      </c>
      <c r="C35">
        <f>B35/12</f>
        <v>12.5</v>
      </c>
      <c r="D35">
        <f>C35</f>
        <v>12.5</v>
      </c>
    </row>
    <row r="36" spans="1:6" x14ac:dyDescent="0.3">
      <c r="A36" t="s">
        <v>40</v>
      </c>
      <c r="B36">
        <v>400</v>
      </c>
      <c r="C36">
        <f>B36/12</f>
        <v>33.333333333333336</v>
      </c>
      <c r="D36">
        <f>C36</f>
        <v>33.333333333333336</v>
      </c>
    </row>
    <row r="39" spans="1:6" x14ac:dyDescent="0.3">
      <c r="A39" t="s">
        <v>94</v>
      </c>
      <c r="B39" t="s">
        <v>95</v>
      </c>
    </row>
  </sheetData>
  <mergeCells count="3">
    <mergeCell ref="B5:C5"/>
    <mergeCell ref="B18:C18"/>
    <mergeCell ref="D18:E18"/>
  </mergeCells>
  <phoneticPr fontId="6" type="noConversion"/>
  <hyperlinks>
    <hyperlink ref="A1" r:id="rId1" xr:uid="{008B1801-44E0-4F1A-BA9A-77B6665885F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390F-A9B9-4B49-A863-B43314902202}">
  <sheetPr>
    <tabColor theme="5"/>
  </sheetPr>
  <dimension ref="B1:W36"/>
  <sheetViews>
    <sheetView tabSelected="1" topLeftCell="E1" zoomScale="62" workbookViewId="0">
      <selection activeCell="AA19" sqref="AA19"/>
    </sheetView>
  </sheetViews>
  <sheetFormatPr defaultRowHeight="14.4" x14ac:dyDescent="0.3"/>
  <cols>
    <col min="2" max="2" width="7.109375" bestFit="1" customWidth="1"/>
    <col min="3" max="3" width="16.5546875" bestFit="1" customWidth="1"/>
    <col min="4" max="4" width="6.88671875" bestFit="1" customWidth="1"/>
    <col min="5" max="6" width="16.21875" bestFit="1" customWidth="1"/>
    <col min="7" max="7" width="14.33203125" bestFit="1" customWidth="1"/>
    <col min="8" max="8" width="6.5546875" bestFit="1" customWidth="1"/>
    <col min="9" max="9" width="9.21875" bestFit="1" customWidth="1"/>
    <col min="10" max="10" width="13.77734375" bestFit="1" customWidth="1"/>
    <col min="11" max="11" width="19.77734375" bestFit="1" customWidth="1"/>
    <col min="14" max="15" width="12" bestFit="1" customWidth="1"/>
    <col min="17" max="17" width="9.6640625" bestFit="1" customWidth="1"/>
    <col min="18" max="18" width="13.77734375" bestFit="1" customWidth="1"/>
  </cols>
  <sheetData>
    <row r="1" spans="2:23" x14ac:dyDescent="0.3">
      <c r="K1" s="11" t="s">
        <v>60</v>
      </c>
      <c r="L1" s="11"/>
      <c r="M1" s="11"/>
      <c r="N1" s="11"/>
      <c r="O1" s="11"/>
    </row>
    <row r="2" spans="2:23" x14ac:dyDescent="0.3">
      <c r="B2" t="s">
        <v>51</v>
      </c>
      <c r="C2" t="s">
        <v>52</v>
      </c>
      <c r="D2" t="s">
        <v>53</v>
      </c>
      <c r="E2" t="s">
        <v>54</v>
      </c>
      <c r="F2" t="s">
        <v>47</v>
      </c>
      <c r="G2" t="s">
        <v>48</v>
      </c>
      <c r="H2" t="s">
        <v>55</v>
      </c>
      <c r="I2" t="s">
        <v>37</v>
      </c>
      <c r="J2" s="2" t="s">
        <v>56</v>
      </c>
      <c r="K2" s="2" t="s">
        <v>83</v>
      </c>
      <c r="L2" s="2" t="s">
        <v>61</v>
      </c>
      <c r="M2" s="2" t="s">
        <v>79</v>
      </c>
      <c r="N2" s="2" t="s">
        <v>82</v>
      </c>
      <c r="O2" s="2" t="s">
        <v>84</v>
      </c>
      <c r="P2" s="2" t="s">
        <v>87</v>
      </c>
      <c r="Q2" s="2" t="s">
        <v>48</v>
      </c>
      <c r="R2" s="2" t="s">
        <v>83</v>
      </c>
      <c r="S2" s="2" t="s">
        <v>96</v>
      </c>
      <c r="U2" s="2" t="s">
        <v>92</v>
      </c>
    </row>
    <row r="3" spans="2:23" x14ac:dyDescent="0.3">
      <c r="U3" t="s">
        <v>88</v>
      </c>
      <c r="V3" t="s">
        <v>89</v>
      </c>
    </row>
    <row r="4" spans="2:23" x14ac:dyDescent="0.3">
      <c r="D4" s="7">
        <v>0.5</v>
      </c>
      <c r="E4">
        <v>36.36</v>
      </c>
      <c r="F4">
        <v>8.44</v>
      </c>
      <c r="G4">
        <v>2.23</v>
      </c>
      <c r="H4">
        <v>21697</v>
      </c>
      <c r="I4">
        <v>18.82</v>
      </c>
      <c r="J4">
        <v>1.93</v>
      </c>
      <c r="K4">
        <f>H4*(2*PI()/60)</f>
        <v>2272.1045268312578</v>
      </c>
      <c r="L4">
        <f t="shared" ref="L4:L25" si="0">E4*(9.81/1000)</f>
        <v>0.35669160000000005</v>
      </c>
      <c r="M4">
        <f t="shared" ref="M4:M25" si="1">$J$32*(G4-$G$35)</f>
        <v>2.1690545101381163E-3</v>
      </c>
      <c r="N4">
        <f>L4/K4^2</f>
        <v>6.9093352862141568E-8</v>
      </c>
      <c r="O4">
        <f>M4/K4^2</f>
        <v>4.2015917573105868E-10</v>
      </c>
      <c r="P4">
        <f>F4*(D4)</f>
        <v>4.22</v>
      </c>
      <c r="Q4">
        <v>2.23</v>
      </c>
      <c r="R4">
        <v>2272.1045268312578</v>
      </c>
      <c r="S4">
        <f>$U$4*R4+$V$4*Q4</f>
        <v>4.3860329621443261</v>
      </c>
      <c r="U4" cm="1">
        <f t="array" ref="U4:W4">LINEST(P4:P25,Q4:R25,FALSE)</f>
        <v>1.3550872028086959E-3</v>
      </c>
      <c r="V4">
        <v>0.58615838313523816</v>
      </c>
      <c r="W4">
        <v>0</v>
      </c>
    </row>
    <row r="5" spans="2:23" x14ac:dyDescent="0.3">
      <c r="D5" s="7">
        <v>0.55000000000000004</v>
      </c>
      <c r="E5">
        <v>43.87</v>
      </c>
      <c r="F5">
        <v>8.43</v>
      </c>
      <c r="G5">
        <v>2.61</v>
      </c>
      <c r="H5">
        <v>23640</v>
      </c>
      <c r="I5">
        <v>22</v>
      </c>
      <c r="J5">
        <v>1.99</v>
      </c>
      <c r="K5">
        <f t="shared" ref="K5:K14" si="2">H5*(2*PI()/60)</f>
        <v>2475.5750110287568</v>
      </c>
      <c r="L5">
        <f t="shared" si="0"/>
        <v>0.43036470000000004</v>
      </c>
      <c r="M5">
        <f t="shared" si="1"/>
        <v>2.6874448962088612E-3</v>
      </c>
      <c r="N5">
        <f t="shared" ref="N5:N14" si="3">L5/K5^2</f>
        <v>7.0223821796940815E-8</v>
      </c>
      <c r="O5">
        <f t="shared" ref="O5:O14" si="4">M5/K5^2</f>
        <v>4.3851796274292286E-10</v>
      </c>
      <c r="P5">
        <f t="shared" ref="P5:P27" si="5">F5*(D5)</f>
        <v>4.6364999999999998</v>
      </c>
      <c r="Q5">
        <v>2.61</v>
      </c>
      <c r="R5">
        <v>2475.5750110287568</v>
      </c>
      <c r="S5">
        <f>$U$4*R5+$V$4*Q5</f>
        <v>4.8844933970210356</v>
      </c>
    </row>
    <row r="6" spans="2:23" x14ac:dyDescent="0.3">
      <c r="D6" s="7">
        <v>0.6</v>
      </c>
      <c r="E6">
        <v>49.55</v>
      </c>
      <c r="F6">
        <v>8.43</v>
      </c>
      <c r="G6">
        <v>3</v>
      </c>
      <c r="H6">
        <v>25221</v>
      </c>
      <c r="I6">
        <v>25.29</v>
      </c>
      <c r="J6">
        <v>1.96</v>
      </c>
      <c r="K6">
        <f t="shared" si="2"/>
        <v>2641.1369438729389</v>
      </c>
      <c r="L6">
        <f t="shared" si="0"/>
        <v>0.4860855</v>
      </c>
      <c r="M6">
        <f t="shared" si="1"/>
        <v>3.219477134544626E-3</v>
      </c>
      <c r="N6">
        <f t="shared" si="3"/>
        <v>6.9683639606316829E-8</v>
      </c>
      <c r="O6">
        <f t="shared" si="4"/>
        <v>4.6153379264426795E-10</v>
      </c>
      <c r="P6">
        <f t="shared" si="5"/>
        <v>5.0579999999999998</v>
      </c>
      <c r="Q6">
        <v>3</v>
      </c>
      <c r="R6">
        <v>2641.1369438729389</v>
      </c>
      <c r="S6">
        <f>$U$4*R6+$V$4*Q6</f>
        <v>5.3374460229132028</v>
      </c>
    </row>
    <row r="7" spans="2:23" x14ac:dyDescent="0.3">
      <c r="D7" s="7">
        <v>0.65</v>
      </c>
      <c r="E7">
        <v>57.27</v>
      </c>
      <c r="F7">
        <v>8.43</v>
      </c>
      <c r="G7">
        <v>3.38</v>
      </c>
      <c r="H7">
        <v>26856</v>
      </c>
      <c r="I7">
        <v>28.49</v>
      </c>
      <c r="J7">
        <v>2.0099999999999998</v>
      </c>
      <c r="K7">
        <f t="shared" si="2"/>
        <v>2812.3537434935829</v>
      </c>
      <c r="L7">
        <f t="shared" si="0"/>
        <v>0.56181870000000012</v>
      </c>
      <c r="M7">
        <f t="shared" si="1"/>
        <v>3.7378675206153704E-3</v>
      </c>
      <c r="N7">
        <f t="shared" si="3"/>
        <v>7.1032368836255242E-8</v>
      </c>
      <c r="O7">
        <f t="shared" si="4"/>
        <v>4.7258943923619808E-10</v>
      </c>
      <c r="P7">
        <f t="shared" si="5"/>
        <v>5.4794999999999998</v>
      </c>
      <c r="Q7">
        <v>3.38</v>
      </c>
      <c r="R7">
        <v>2812.3537434935829</v>
      </c>
      <c r="S7">
        <f>$U$4*R7+$V$4*Q7</f>
        <v>5.7921999025763888</v>
      </c>
      <c r="U7" s="2" t="s">
        <v>90</v>
      </c>
      <c r="V7">
        <f>1/U4</f>
        <v>737.95988769379198</v>
      </c>
      <c r="W7">
        <f>V7/(2*PI()/60)</f>
        <v>7046.9978358004164</v>
      </c>
    </row>
    <row r="8" spans="2:23" x14ac:dyDescent="0.3">
      <c r="D8" s="7">
        <v>0.7</v>
      </c>
      <c r="E8">
        <v>65.680000000000007</v>
      </c>
      <c r="F8">
        <v>8.42</v>
      </c>
      <c r="G8">
        <v>3.81</v>
      </c>
      <c r="H8">
        <v>28296</v>
      </c>
      <c r="I8">
        <v>32.08</v>
      </c>
      <c r="J8">
        <v>2.0499999999999998</v>
      </c>
      <c r="K8">
        <f t="shared" si="2"/>
        <v>2963.1501908658929</v>
      </c>
      <c r="L8">
        <f t="shared" si="0"/>
        <v>0.64432080000000014</v>
      </c>
      <c r="M8">
        <f t="shared" si="1"/>
        <v>4.3244671680112137E-3</v>
      </c>
      <c r="N8">
        <f t="shared" si="3"/>
        <v>7.3382891787654566E-8</v>
      </c>
      <c r="O8">
        <f t="shared" si="4"/>
        <v>4.9252159208492385E-10</v>
      </c>
      <c r="P8">
        <f t="shared" si="5"/>
        <v>5.8939999999999992</v>
      </c>
      <c r="Q8">
        <v>3.81</v>
      </c>
      <c r="R8">
        <v>2963.1501908658929</v>
      </c>
      <c r="S8">
        <f>$U$4*R8+$V$4*Q8</f>
        <v>6.2485903433877734</v>
      </c>
      <c r="U8" s="2" t="s">
        <v>91</v>
      </c>
      <c r="V8">
        <f>V4</f>
        <v>0.58615838313523816</v>
      </c>
    </row>
    <row r="9" spans="2:23" x14ac:dyDescent="0.3">
      <c r="D9" s="7">
        <v>0.75</v>
      </c>
      <c r="E9">
        <v>75.09</v>
      </c>
      <c r="F9">
        <v>8.42</v>
      </c>
      <c r="G9">
        <v>4.21</v>
      </c>
      <c r="H9">
        <v>29501</v>
      </c>
      <c r="I9">
        <v>35.450000000000003</v>
      </c>
      <c r="J9">
        <v>2.12</v>
      </c>
      <c r="K9">
        <f t="shared" si="2"/>
        <v>3089.3374957850829</v>
      </c>
      <c r="L9">
        <f t="shared" si="0"/>
        <v>0.73663290000000015</v>
      </c>
      <c r="M9">
        <f t="shared" si="1"/>
        <v>4.8701412586119978E-3</v>
      </c>
      <c r="N9">
        <f t="shared" si="3"/>
        <v>7.7182777067588976E-8</v>
      </c>
      <c r="O9">
        <f t="shared" si="4"/>
        <v>5.1028270262041911E-10</v>
      </c>
      <c r="P9">
        <f t="shared" si="5"/>
        <v>6.3149999999999995</v>
      </c>
      <c r="Q9">
        <v>4.21</v>
      </c>
      <c r="R9">
        <v>3089.3374957850829</v>
      </c>
      <c r="S9">
        <f>$U$4*R9+$V$4*Q9</f>
        <v>6.6540484986947828</v>
      </c>
      <c r="U9" s="2"/>
    </row>
    <row r="10" spans="2:23" x14ac:dyDescent="0.3">
      <c r="C10" t="s">
        <v>57</v>
      </c>
      <c r="D10" s="7">
        <v>0.8</v>
      </c>
      <c r="E10">
        <v>83.24</v>
      </c>
      <c r="F10">
        <v>8.42</v>
      </c>
      <c r="G10">
        <v>4.63</v>
      </c>
      <c r="H10">
        <v>30586</v>
      </c>
      <c r="I10">
        <v>38.979999999999997</v>
      </c>
      <c r="J10">
        <v>2.14</v>
      </c>
      <c r="K10">
        <f t="shared" si="2"/>
        <v>3202.9584300899137</v>
      </c>
      <c r="L10">
        <f t="shared" si="0"/>
        <v>0.81658439999999999</v>
      </c>
      <c r="M10">
        <f t="shared" si="1"/>
        <v>5.4430990537428208E-3</v>
      </c>
      <c r="N10">
        <f t="shared" si="3"/>
        <v>7.9597325327808205E-8</v>
      </c>
      <c r="O10">
        <f t="shared" si="4"/>
        <v>5.305711524396649E-10</v>
      </c>
      <c r="P10">
        <f t="shared" si="5"/>
        <v>6.7360000000000007</v>
      </c>
      <c r="Q10">
        <v>4.63</v>
      </c>
      <c r="R10">
        <v>3202.9584300899137</v>
      </c>
      <c r="S10">
        <f>$U$4*R10+$V$4*Q10</f>
        <v>7.0542012936592258</v>
      </c>
      <c r="U10" s="2" t="s">
        <v>97</v>
      </c>
      <c r="V10">
        <f>1-SUMXMY2(P4:P25,S4:S25)/DEVSQ(P4:P25)</f>
        <v>0.97327690121474553</v>
      </c>
    </row>
    <row r="11" spans="2:23" x14ac:dyDescent="0.3">
      <c r="D11" s="7">
        <v>0.85</v>
      </c>
      <c r="E11">
        <v>88.78</v>
      </c>
      <c r="F11">
        <v>8.41</v>
      </c>
      <c r="G11">
        <v>5.05</v>
      </c>
      <c r="H11">
        <v>31828</v>
      </c>
      <c r="I11">
        <v>42.47</v>
      </c>
      <c r="J11">
        <v>2.09</v>
      </c>
      <c r="K11">
        <f t="shared" si="2"/>
        <v>3333.020365948531</v>
      </c>
      <c r="L11">
        <f t="shared" si="0"/>
        <v>0.87093180000000014</v>
      </c>
      <c r="M11">
        <f t="shared" si="1"/>
        <v>6.0160568488736446E-3</v>
      </c>
      <c r="N11">
        <f t="shared" si="3"/>
        <v>7.8398583028588893E-8</v>
      </c>
      <c r="O11">
        <f t="shared" si="4"/>
        <v>5.4154680351679805E-10</v>
      </c>
      <c r="P11">
        <f t="shared" si="5"/>
        <v>7.1485000000000003</v>
      </c>
      <c r="Q11">
        <v>5.05</v>
      </c>
      <c r="R11">
        <v>3333.020365948531</v>
      </c>
      <c r="S11">
        <f>$U$4*R11+$V$4*Q11</f>
        <v>7.4766330794305631</v>
      </c>
    </row>
    <row r="12" spans="2:23" x14ac:dyDescent="0.3">
      <c r="D12" s="7">
        <v>0.9</v>
      </c>
      <c r="E12">
        <v>92.8</v>
      </c>
      <c r="F12">
        <v>8.41</v>
      </c>
      <c r="G12">
        <v>5.51</v>
      </c>
      <c r="H12">
        <v>33247</v>
      </c>
      <c r="I12">
        <v>46.34</v>
      </c>
      <c r="J12">
        <v>2</v>
      </c>
      <c r="K12">
        <f t="shared" si="2"/>
        <v>3481.6176984633285</v>
      </c>
      <c r="L12">
        <f t="shared" si="0"/>
        <v>0.91036800000000007</v>
      </c>
      <c r="M12">
        <f t="shared" si="1"/>
        <v>6.6435820530645461E-3</v>
      </c>
      <c r="N12">
        <f t="shared" si="3"/>
        <v>7.5102573817989042E-8</v>
      </c>
      <c r="O12">
        <f t="shared" si="4"/>
        <v>5.4807518668950057E-10</v>
      </c>
      <c r="P12">
        <f t="shared" si="5"/>
        <v>7.569</v>
      </c>
      <c r="Q12">
        <v>5.51</v>
      </c>
      <c r="R12">
        <v>3481.6176984633285</v>
      </c>
      <c r="S12">
        <f>$U$4*R12+$V$4*Q12</f>
        <v>7.947628279335083</v>
      </c>
      <c r="V12">
        <f>((0.5*0.15)+(0.5*0.1)+(0.5*0.1))/35</f>
        <v>5.0000000000000001E-3</v>
      </c>
    </row>
    <row r="13" spans="2:23" x14ac:dyDescent="0.3">
      <c r="D13" s="7">
        <v>0.95</v>
      </c>
      <c r="E13">
        <v>99.08</v>
      </c>
      <c r="F13">
        <v>8.4</v>
      </c>
      <c r="G13">
        <v>6.1</v>
      </c>
      <c r="H13">
        <v>34442</v>
      </c>
      <c r="I13">
        <v>51.24</v>
      </c>
      <c r="J13">
        <v>1.93</v>
      </c>
      <c r="K13">
        <f t="shared" si="2"/>
        <v>3606.7578058313215</v>
      </c>
      <c r="L13">
        <f t="shared" si="0"/>
        <v>0.97197480000000014</v>
      </c>
      <c r="M13">
        <f t="shared" si="1"/>
        <v>7.4484513367007021E-3</v>
      </c>
      <c r="N13">
        <f t="shared" si="3"/>
        <v>7.4717278458591601E-8</v>
      </c>
      <c r="O13">
        <f t="shared" si="4"/>
        <v>5.7257452827947294E-10</v>
      </c>
      <c r="P13">
        <f t="shared" si="5"/>
        <v>7.9799999999999995</v>
      </c>
      <c r="Q13">
        <v>6.1</v>
      </c>
      <c r="R13">
        <v>3606.7578058313215</v>
      </c>
      <c r="S13">
        <f>$U$4*R13+$V$4*Q13</f>
        <v>8.463037483437347</v>
      </c>
    </row>
    <row r="14" spans="2:23" x14ac:dyDescent="0.3">
      <c r="D14" s="7">
        <v>1</v>
      </c>
      <c r="E14">
        <v>105.4</v>
      </c>
      <c r="F14">
        <v>8.39</v>
      </c>
      <c r="G14">
        <v>6.79</v>
      </c>
      <c r="H14">
        <v>35830</v>
      </c>
      <c r="I14">
        <v>56.97</v>
      </c>
      <c r="J14">
        <v>1.85</v>
      </c>
      <c r="K14">
        <f t="shared" si="2"/>
        <v>3752.1088259374096</v>
      </c>
      <c r="L14">
        <f t="shared" si="0"/>
        <v>1.0339740000000002</v>
      </c>
      <c r="M14">
        <f t="shared" si="1"/>
        <v>8.3897391429870547E-3</v>
      </c>
      <c r="N14">
        <f t="shared" si="3"/>
        <v>7.3444413315820319E-8</v>
      </c>
      <c r="O14">
        <f t="shared" si="4"/>
        <v>5.9593323355273664E-10</v>
      </c>
      <c r="P14">
        <f t="shared" si="5"/>
        <v>8.39</v>
      </c>
      <c r="Q14">
        <v>6.79</v>
      </c>
      <c r="R14">
        <v>3752.1088259374096</v>
      </c>
      <c r="S14">
        <f>$U$4*R14+$V$4*Q14</f>
        <v>9.064450075061611</v>
      </c>
    </row>
    <row r="15" spans="2:23" x14ac:dyDescent="0.3">
      <c r="D15" s="7">
        <v>0.5</v>
      </c>
      <c r="E15">
        <v>58.35</v>
      </c>
      <c r="F15">
        <v>12.62</v>
      </c>
      <c r="G15">
        <v>3.31</v>
      </c>
      <c r="H15">
        <v>27208</v>
      </c>
      <c r="I15">
        <v>41.77</v>
      </c>
      <c r="J15">
        <v>1.4</v>
      </c>
      <c r="K15">
        <f t="shared" ref="K15:K25" si="6">H15*(2*PI()/60)</f>
        <v>2849.2150972957029</v>
      </c>
      <c r="L15">
        <f t="shared" si="0"/>
        <v>0.57241350000000002</v>
      </c>
      <c r="M15">
        <f t="shared" si="1"/>
        <v>3.6423745547602337E-3</v>
      </c>
      <c r="N15">
        <f t="shared" ref="N15:N25" si="7">L15/K15^2</f>
        <v>7.0511409141948577E-8</v>
      </c>
      <c r="O15">
        <f t="shared" ref="O15:O25" si="8">M15/K15^2</f>
        <v>4.4867733287024434E-10</v>
      </c>
      <c r="P15">
        <f t="shared" si="5"/>
        <v>6.31</v>
      </c>
      <c r="Q15">
        <v>3.31</v>
      </c>
      <c r="R15">
        <v>2849.2150972957029</v>
      </c>
      <c r="S15">
        <f>$U$4*R15+$V$4*Q15</f>
        <v>5.8011191645723788</v>
      </c>
    </row>
    <row r="16" spans="2:23" x14ac:dyDescent="0.3">
      <c r="B16" t="s">
        <v>58</v>
      </c>
      <c r="D16" s="7">
        <v>0.55000000000000004</v>
      </c>
      <c r="E16">
        <v>72.42</v>
      </c>
      <c r="F16">
        <v>12.62</v>
      </c>
      <c r="G16">
        <v>3.87</v>
      </c>
      <c r="H16">
        <v>29371</v>
      </c>
      <c r="I16">
        <v>48.84</v>
      </c>
      <c r="J16">
        <v>1.48</v>
      </c>
      <c r="K16">
        <f t="shared" si="6"/>
        <v>3075.7239276195269</v>
      </c>
      <c r="L16">
        <f t="shared" si="0"/>
        <v>0.71044020000000008</v>
      </c>
      <c r="M16">
        <f t="shared" si="1"/>
        <v>4.406318281601331E-3</v>
      </c>
      <c r="N16">
        <f t="shared" si="7"/>
        <v>7.5098770233381323E-8</v>
      </c>
      <c r="O16">
        <f t="shared" si="8"/>
        <v>4.6578034886697838E-10</v>
      </c>
      <c r="P16">
        <f t="shared" si="5"/>
        <v>6.9409999999999998</v>
      </c>
      <c r="Q16">
        <v>3.87</v>
      </c>
      <c r="R16">
        <v>3075.7239276195269</v>
      </c>
      <c r="S16">
        <f>$U$4*R16+$V$4*Q16</f>
        <v>6.4363070764230912</v>
      </c>
      <c r="V16">
        <f>((0.5*0.15)+(1*0.1)+(0.5*0.1))/35</f>
        <v>6.4285714285714276E-3</v>
      </c>
    </row>
    <row r="17" spans="2:19" x14ac:dyDescent="0.3">
      <c r="B17" t="s">
        <v>59</v>
      </c>
      <c r="D17" s="7">
        <v>0.6</v>
      </c>
      <c r="E17">
        <v>82.03</v>
      </c>
      <c r="F17">
        <v>12.61</v>
      </c>
      <c r="G17">
        <v>4.4800000000000004</v>
      </c>
      <c r="H17">
        <v>31323</v>
      </c>
      <c r="I17">
        <v>56.49</v>
      </c>
      <c r="J17">
        <v>1.45</v>
      </c>
      <c r="K17">
        <f t="shared" si="6"/>
        <v>3280.136889613103</v>
      </c>
      <c r="L17">
        <f t="shared" si="0"/>
        <v>0.8047143000000001</v>
      </c>
      <c r="M17">
        <f t="shared" si="1"/>
        <v>5.2384712697675275E-3</v>
      </c>
      <c r="N17">
        <f t="shared" si="7"/>
        <v>7.4792453829978152E-8</v>
      </c>
      <c r="O17">
        <f t="shared" si="8"/>
        <v>4.8687853637465472E-10</v>
      </c>
      <c r="P17">
        <f t="shared" si="5"/>
        <v>7.5659999999999989</v>
      </c>
      <c r="Q17">
        <v>4.4800000000000004</v>
      </c>
      <c r="R17">
        <v>3280.136889613103</v>
      </c>
      <c r="S17">
        <f>$U$4*R17+$V$4*Q17</f>
        <v>7.0708610790213022</v>
      </c>
    </row>
    <row r="18" spans="2:19" x14ac:dyDescent="0.3">
      <c r="D18" s="7">
        <v>0.65</v>
      </c>
      <c r="E18">
        <v>90.44</v>
      </c>
      <c r="F18">
        <v>12.6</v>
      </c>
      <c r="G18">
        <v>5.08</v>
      </c>
      <c r="H18">
        <v>33535</v>
      </c>
      <c r="I18">
        <v>64.010000000000005</v>
      </c>
      <c r="J18">
        <v>1.41</v>
      </c>
      <c r="K18">
        <f t="shared" si="6"/>
        <v>3511.7769879377902</v>
      </c>
      <c r="L18">
        <f t="shared" si="0"/>
        <v>0.88721640000000002</v>
      </c>
      <c r="M18">
        <f t="shared" si="1"/>
        <v>6.0569824056687033E-3</v>
      </c>
      <c r="N18">
        <f t="shared" si="7"/>
        <v>7.1940873014583033E-8</v>
      </c>
      <c r="O18">
        <f t="shared" si="8"/>
        <v>4.9113677576042985E-10</v>
      </c>
      <c r="P18">
        <f t="shared" si="5"/>
        <v>8.19</v>
      </c>
      <c r="Q18">
        <v>5.08</v>
      </c>
      <c r="R18">
        <v>3511.7769879377902</v>
      </c>
      <c r="S18">
        <f>$U$4*R18+$V$4*Q18</f>
        <v>7.7364486417995773</v>
      </c>
    </row>
    <row r="19" spans="2:19" x14ac:dyDescent="0.3">
      <c r="D19" s="7">
        <v>0.7</v>
      </c>
      <c r="E19">
        <v>100.6</v>
      </c>
      <c r="F19">
        <v>12.6</v>
      </c>
      <c r="G19">
        <v>5.75</v>
      </c>
      <c r="H19">
        <v>35546</v>
      </c>
      <c r="I19">
        <v>72.45</v>
      </c>
      <c r="J19">
        <v>1.39</v>
      </c>
      <c r="K19">
        <f t="shared" si="6"/>
        <v>3722.3684154834259</v>
      </c>
      <c r="L19">
        <f t="shared" si="0"/>
        <v>0.98688600000000004</v>
      </c>
      <c r="M19">
        <f t="shared" si="1"/>
        <v>6.9709865074250171E-3</v>
      </c>
      <c r="N19">
        <f t="shared" si="7"/>
        <v>7.1224314662732518E-8</v>
      </c>
      <c r="O19">
        <f t="shared" si="8"/>
        <v>5.0310140838405059E-10</v>
      </c>
      <c r="P19">
        <f t="shared" si="5"/>
        <v>8.8199999999999985</v>
      </c>
      <c r="Q19">
        <v>5.75</v>
      </c>
      <c r="R19">
        <v>3722.3684154834259</v>
      </c>
      <c r="S19">
        <f>$U$4*R19+$V$4*Q19</f>
        <v>8.4145445069884932</v>
      </c>
    </row>
    <row r="20" spans="2:19" x14ac:dyDescent="0.3">
      <c r="D20" s="7">
        <v>0.75</v>
      </c>
      <c r="E20">
        <v>107.68</v>
      </c>
      <c r="F20">
        <v>12.59</v>
      </c>
      <c r="G20">
        <v>6.35</v>
      </c>
      <c r="H20">
        <v>37391</v>
      </c>
      <c r="I20">
        <v>79.95</v>
      </c>
      <c r="J20">
        <v>1.35</v>
      </c>
      <c r="K20">
        <f t="shared" si="6"/>
        <v>3915.5763636791985</v>
      </c>
      <c r="L20">
        <f t="shared" si="0"/>
        <v>1.0563408000000001</v>
      </c>
      <c r="M20">
        <f t="shared" si="1"/>
        <v>7.7894976433261921E-3</v>
      </c>
      <c r="N20">
        <f t="shared" si="7"/>
        <v>6.8898958624249194E-8</v>
      </c>
      <c r="O20">
        <f t="shared" si="8"/>
        <v>5.0806356796141729E-10</v>
      </c>
      <c r="P20">
        <f t="shared" si="5"/>
        <v>9.442499999999999</v>
      </c>
      <c r="Q20">
        <v>6.35</v>
      </c>
      <c r="R20">
        <v>3915.5763636791985</v>
      </c>
      <c r="S20">
        <f>$U$4*R20+$V$4*Q20</f>
        <v>9.0280531549506513</v>
      </c>
    </row>
    <row r="21" spans="2:19" x14ac:dyDescent="0.3">
      <c r="C21" t="s">
        <v>57</v>
      </c>
      <c r="D21" s="7">
        <v>0.8</v>
      </c>
      <c r="E21">
        <v>120.27</v>
      </c>
      <c r="F21">
        <v>12.58</v>
      </c>
      <c r="G21">
        <v>7.02</v>
      </c>
      <c r="H21">
        <v>39387</v>
      </c>
      <c r="I21">
        <v>88.31</v>
      </c>
      <c r="J21">
        <v>1.36</v>
      </c>
      <c r="K21">
        <f t="shared" si="6"/>
        <v>4124.5969948980392</v>
      </c>
      <c r="L21">
        <f t="shared" si="0"/>
        <v>1.1798487</v>
      </c>
      <c r="M21">
        <f t="shared" si="1"/>
        <v>8.703501745082505E-3</v>
      </c>
      <c r="N21">
        <f t="shared" si="7"/>
        <v>6.9352684488116213E-8</v>
      </c>
      <c r="O21">
        <f t="shared" si="8"/>
        <v>5.1160052171814565E-10</v>
      </c>
      <c r="P21">
        <f t="shared" si="5"/>
        <v>10.064</v>
      </c>
      <c r="Q21">
        <v>7.02</v>
      </c>
      <c r="R21">
        <v>4124.5969948980392</v>
      </c>
      <c r="S21">
        <f>$U$4*R21+$V$4*Q21</f>
        <v>9.7040204541389095</v>
      </c>
    </row>
    <row r="22" spans="2:19" x14ac:dyDescent="0.3">
      <c r="D22" s="7">
        <v>0.85</v>
      </c>
      <c r="E22">
        <v>131.19999999999999</v>
      </c>
      <c r="F22">
        <v>12.57</v>
      </c>
      <c r="G22">
        <v>7.79</v>
      </c>
      <c r="H22">
        <v>41075</v>
      </c>
      <c r="I22">
        <v>97.92</v>
      </c>
      <c r="J22">
        <v>1.34</v>
      </c>
      <c r="K22">
        <f t="shared" si="6"/>
        <v>4301.3639415400248</v>
      </c>
      <c r="L22">
        <f t="shared" si="0"/>
        <v>1.287072</v>
      </c>
      <c r="M22">
        <f t="shared" si="1"/>
        <v>9.7539243694890164E-3</v>
      </c>
      <c r="N22">
        <f t="shared" si="7"/>
        <v>6.9564947587819525E-8</v>
      </c>
      <c r="O22">
        <f t="shared" si="8"/>
        <v>5.271898056511671E-10</v>
      </c>
      <c r="P22">
        <f t="shared" si="5"/>
        <v>10.6845</v>
      </c>
      <c r="Q22">
        <v>7.79</v>
      </c>
      <c r="R22">
        <v>4301.3639415400248</v>
      </c>
      <c r="S22">
        <f>$U$4*R22+$V$4*Q22</f>
        <v>10.394897036427164</v>
      </c>
    </row>
    <row r="23" spans="2:19" x14ac:dyDescent="0.3">
      <c r="D23" s="7">
        <v>0.9</v>
      </c>
      <c r="E23">
        <v>141.37</v>
      </c>
      <c r="F23">
        <v>12.56</v>
      </c>
      <c r="G23">
        <v>8.66</v>
      </c>
      <c r="H23">
        <v>42827</v>
      </c>
      <c r="I23">
        <v>108.77</v>
      </c>
      <c r="J23">
        <v>1.3</v>
      </c>
      <c r="K23">
        <f t="shared" si="6"/>
        <v>4484.8329525096688</v>
      </c>
      <c r="L23">
        <f t="shared" si="0"/>
        <v>1.3868397000000001</v>
      </c>
      <c r="M23">
        <f t="shared" si="1"/>
        <v>1.0940765516545719E-2</v>
      </c>
      <c r="N23">
        <f t="shared" si="7"/>
        <v>6.8949913000127578E-8</v>
      </c>
      <c r="O23">
        <f t="shared" si="8"/>
        <v>5.439452234606662E-10</v>
      </c>
      <c r="P23">
        <f t="shared" si="5"/>
        <v>11.304</v>
      </c>
      <c r="Q23">
        <v>8.66</v>
      </c>
      <c r="R23">
        <v>4484.8329525096688</v>
      </c>
      <c r="S23">
        <f>$U$4*R23+$V$4*Q23</f>
        <v>11.153471338631753</v>
      </c>
    </row>
    <row r="24" spans="2:19" x14ac:dyDescent="0.3">
      <c r="D24" s="7">
        <v>0.95</v>
      </c>
      <c r="E24">
        <v>149.38</v>
      </c>
      <c r="F24">
        <v>12.55</v>
      </c>
      <c r="G24">
        <v>9.57</v>
      </c>
      <c r="H24">
        <v>44421</v>
      </c>
      <c r="I24">
        <v>120.1</v>
      </c>
      <c r="J24">
        <v>1.24</v>
      </c>
      <c r="K24">
        <f t="shared" si="6"/>
        <v>4651.756242170406</v>
      </c>
      <c r="L24">
        <f t="shared" si="0"/>
        <v>1.4654178000000002</v>
      </c>
      <c r="M24">
        <f t="shared" si="1"/>
        <v>1.2182174072662503E-2</v>
      </c>
      <c r="N24">
        <f t="shared" si="7"/>
        <v>6.7721655210620534E-8</v>
      </c>
      <c r="O24">
        <f t="shared" si="8"/>
        <v>5.6297732446310594E-10</v>
      </c>
      <c r="P24">
        <f t="shared" si="5"/>
        <v>11.922499999999999</v>
      </c>
      <c r="Q24">
        <v>9.57</v>
      </c>
      <c r="R24">
        <v>4651.756242170406</v>
      </c>
      <c r="S24">
        <f>$U$4*R24+$V$4*Q24</f>
        <v>11.913071080954815</v>
      </c>
    </row>
    <row r="25" spans="2:19" x14ac:dyDescent="0.3">
      <c r="D25" s="7">
        <v>1</v>
      </c>
      <c r="E25">
        <v>157.81</v>
      </c>
      <c r="F25">
        <v>12.55</v>
      </c>
      <c r="G25">
        <v>10.56</v>
      </c>
      <c r="H25">
        <v>45398</v>
      </c>
      <c r="I25">
        <v>132.53</v>
      </c>
      <c r="J25">
        <v>1.19</v>
      </c>
      <c r="K25">
        <f t="shared" si="6"/>
        <v>4754.0674429223136</v>
      </c>
      <c r="L25">
        <f t="shared" si="0"/>
        <v>1.5481161000000001</v>
      </c>
      <c r="M25">
        <f t="shared" si="1"/>
        <v>1.3532717446899444E-2</v>
      </c>
      <c r="N25">
        <f t="shared" si="7"/>
        <v>6.8497204932858594E-8</v>
      </c>
      <c r="O25">
        <f t="shared" si="8"/>
        <v>5.9876214726966671E-10</v>
      </c>
      <c r="P25">
        <f t="shared" si="5"/>
        <v>12.55</v>
      </c>
      <c r="Q25">
        <v>10.56</v>
      </c>
      <c r="R25">
        <v>4754.0674429223136</v>
      </c>
      <c r="S25">
        <f>$U$4*R25+$V$4*Q25</f>
        <v>12.632008479101604</v>
      </c>
    </row>
    <row r="26" spans="2:19" x14ac:dyDescent="0.3">
      <c r="M26" t="s">
        <v>85</v>
      </c>
      <c r="N26" s="8">
        <f>AVERAGE(N4:N25)</f>
        <v>7.2200555028732337E-8</v>
      </c>
      <c r="O26" s="8">
        <f>AVERAGE(O4:O25)</f>
        <v>5.1056448010538596E-10</v>
      </c>
      <c r="P26">
        <f t="shared" si="5"/>
        <v>0</v>
      </c>
      <c r="S26">
        <f>$U$4*R26+$V$4*Q26</f>
        <v>0</v>
      </c>
    </row>
    <row r="27" spans="2:19" x14ac:dyDescent="0.3">
      <c r="M27" t="s">
        <v>86</v>
      </c>
      <c r="N27">
        <f>_xlfn.STDEV.S(N4:N25)</f>
        <v>3.424028186326633E-9</v>
      </c>
      <c r="O27">
        <f>_xlfn.STDEV.S(O4:O25)</f>
        <v>4.8887423720473051E-11</v>
      </c>
      <c r="P27">
        <f t="shared" si="5"/>
        <v>0</v>
      </c>
      <c r="S27">
        <f>$U$4*R27+$V$4*Q27</f>
        <v>0</v>
      </c>
    </row>
    <row r="29" spans="2:19" x14ac:dyDescent="0.3">
      <c r="M29" t="s">
        <v>98</v>
      </c>
      <c r="N29" s="10">
        <f>N27/N26</f>
        <v>4.7423848541940365E-2</v>
      </c>
      <c r="O29" s="10">
        <f>O27/O26</f>
        <v>9.5751713300506455E-2</v>
      </c>
    </row>
    <row r="30" spans="2:19" x14ac:dyDescent="0.3">
      <c r="E30" t="s">
        <v>62</v>
      </c>
    </row>
    <row r="31" spans="2:19" x14ac:dyDescent="0.3">
      <c r="C31" s="2" t="s">
        <v>80</v>
      </c>
      <c r="D31">
        <v>7000</v>
      </c>
      <c r="F31" s="2" t="s">
        <v>4</v>
      </c>
      <c r="G31" t="s">
        <v>63</v>
      </c>
      <c r="I31" s="2" t="s">
        <v>93</v>
      </c>
      <c r="J31">
        <f>D31*(2*PI()/60)</f>
        <v>733.03828583761833</v>
      </c>
    </row>
    <row r="32" spans="2:19" x14ac:dyDescent="0.3">
      <c r="C32" s="2" t="s">
        <v>64</v>
      </c>
      <c r="D32">
        <v>198</v>
      </c>
      <c r="E32" t="s">
        <v>77</v>
      </c>
      <c r="F32" s="2" t="s">
        <v>65</v>
      </c>
      <c r="G32" t="s">
        <v>66</v>
      </c>
      <c r="I32" s="2" t="s">
        <v>81</v>
      </c>
      <c r="J32" s="9">
        <f>1/J31</f>
        <v>1.3641852265019602E-3</v>
      </c>
    </row>
    <row r="33" spans="3:8" x14ac:dyDescent="0.3">
      <c r="C33" s="2" t="s">
        <v>67</v>
      </c>
      <c r="D33">
        <v>2</v>
      </c>
      <c r="E33" t="s">
        <v>18</v>
      </c>
      <c r="F33" s="2" t="s">
        <v>68</v>
      </c>
      <c r="G33" t="s">
        <v>69</v>
      </c>
    </row>
    <row r="34" spans="3:8" x14ac:dyDescent="0.3">
      <c r="C34" s="2" t="s">
        <v>70</v>
      </c>
      <c r="D34">
        <v>5.25</v>
      </c>
      <c r="E34" t="s">
        <v>78</v>
      </c>
      <c r="F34" s="2" t="s">
        <v>71</v>
      </c>
      <c r="G34">
        <v>4.45</v>
      </c>
      <c r="H34" t="s">
        <v>78</v>
      </c>
    </row>
    <row r="35" spans="3:8" x14ac:dyDescent="0.3">
      <c r="C35" s="2" t="s">
        <v>72</v>
      </c>
      <c r="D35" t="s">
        <v>73</v>
      </c>
      <c r="F35" s="2" t="s">
        <v>74</v>
      </c>
      <c r="G35">
        <v>0.64</v>
      </c>
      <c r="H35" t="s">
        <v>31</v>
      </c>
    </row>
    <row r="36" spans="3:8" x14ac:dyDescent="0.3">
      <c r="C36" s="2" t="s">
        <v>75</v>
      </c>
      <c r="D36">
        <v>192</v>
      </c>
      <c r="E36" t="s">
        <v>32</v>
      </c>
      <c r="F36" s="2" t="s">
        <v>76</v>
      </c>
      <c r="G36">
        <v>10.85</v>
      </c>
      <c r="H36" t="s">
        <v>31</v>
      </c>
    </row>
  </sheetData>
  <mergeCells count="1">
    <mergeCell ref="K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LiPo Properties</vt:lpstr>
      <vt:lpstr>Motor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Haaniya Carelse</dc:creator>
  <cp:lastModifiedBy>Haaniya Carelse</cp:lastModifiedBy>
  <dcterms:created xsi:type="dcterms:W3CDTF">2026-09-07T09:51:59Z</dcterms:created>
  <dcterms:modified xsi:type="dcterms:W3CDTF">2026-10-19T13:42:44Z</dcterms:modified>
</cp:coreProperties>
</file>